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riix/Documents/entreprise/zeriix_dev/ESGI/cours/VBAExcel/excel/pages/25-penser-tcd/"/>
    </mc:Choice>
  </mc:AlternateContent>
  <xr:revisionPtr revIDLastSave="0" documentId="13_ncr:1_{7C72739E-9061-B84C-8479-CC86C89E97F3}" xr6:coauthVersionLast="47" xr6:coauthVersionMax="47" xr10:uidLastSave="{00000000-0000-0000-0000-000000000000}"/>
  <bookViews>
    <workbookView xWindow="0" yWindow="660" windowWidth="30240" windowHeight="18980" xr2:uid="{47C52C58-6F39-4C4F-91F4-81E2AFB6E941}"/>
  </bookViews>
  <sheets>
    <sheet name="Synthèse Ventes" sheetId="1" r:id="rId1"/>
  </sheets>
  <definedNames>
    <definedName name="ventes_demo_tcd" localSheetId="0">'Synthèse Ventes'!$A$4:$I$20</definedName>
  </definedNames>
  <calcPr calcId="18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EEA364-0A9C-8A44-AB3E-700157624979}" name="ventes_demo_tcd" type="6" refreshedVersion="8" background="1" saveData="1">
    <textPr codePage="10000" sourceFile="/Users/zeriix/Documents/entreprise/zeriix_dev/ESGI/cours/VBAExcel/excel/pages/25-penser-tcd/src/ventes_demo_tcd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<sst xmlns="http://schemas.openxmlformats.org/spreadsheetml/2006/main" count="108" uniqueCount="52">
  <si>
    <t>Date</t>
  </si>
  <si>
    <t>Mois</t>
  </si>
  <si>
    <t>Produit</t>
  </si>
  <si>
    <t>Canal</t>
  </si>
  <si>
    <t>V-001</t>
  </si>
  <si>
    <t>Janvier</t>
  </si>
  <si>
    <t>Clavier</t>
  </si>
  <si>
    <t>Accessoires</t>
  </si>
  <si>
    <t>Web</t>
  </si>
  <si>
    <t>Nord</t>
  </si>
  <si>
    <t>V-002</t>
  </si>
  <si>
    <t>Ecran</t>
  </si>
  <si>
    <t>Peripheriques</t>
  </si>
  <si>
    <t>Magasin</t>
  </si>
  <si>
    <t>Ouest</t>
  </si>
  <si>
    <t>V-003</t>
  </si>
  <si>
    <t>Souris</t>
  </si>
  <si>
    <t>Partenaire</t>
  </si>
  <si>
    <t>Sud</t>
  </si>
  <si>
    <t>V-004</t>
  </si>
  <si>
    <t>Casque</t>
  </si>
  <si>
    <t>Audio</t>
  </si>
  <si>
    <t>Est</t>
  </si>
  <si>
    <t>V-005</t>
  </si>
  <si>
    <t>V-006</t>
  </si>
  <si>
    <t>V-007</t>
  </si>
  <si>
    <t>V-008</t>
  </si>
  <si>
    <t>V-009</t>
  </si>
  <si>
    <t>Mars</t>
  </si>
  <si>
    <t>V-010</t>
  </si>
  <si>
    <t>V-011</t>
  </si>
  <si>
    <t>V-012</t>
  </si>
  <si>
    <t>V-013</t>
  </si>
  <si>
    <t>Avril</t>
  </si>
  <si>
    <t>V-014</t>
  </si>
  <si>
    <t>V-015</t>
  </si>
  <si>
    <t>V-016</t>
  </si>
  <si>
    <t>Prix unitaire</t>
  </si>
  <si>
    <t>Chiffre d'affaires</t>
  </si>
  <si>
    <t>Quantité</t>
  </si>
  <si>
    <t>Région</t>
  </si>
  <si>
    <t>Catégorie</t>
  </si>
  <si>
    <t>Example TCD - Ventes</t>
  </si>
  <si>
    <t>Source</t>
  </si>
  <si>
    <t>Vente ID</t>
  </si>
  <si>
    <t>Étiquettes de lignes</t>
  </si>
  <si>
    <t>Total général</t>
  </si>
  <si>
    <t>Somme de Chiffre d'affaires</t>
  </si>
  <si>
    <t>(Tous)</t>
  </si>
  <si>
    <t>Étiquettes de colonnes</t>
  </si>
  <si>
    <t>Février</t>
  </si>
  <si>
    <t>TCD - Chiffre d'affaires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</si>
</sst>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2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A36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3" borderId="1" xfId="0" applyFont="1" applyFill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FLORENTIN" refreshedDate="46288.755108101854" createdVersion="8" refreshedVersion="8" minRefreshableVersion="3" recordCount="16" xr:uid="{063803E2-4776-BC40-B43F-7BF3F1328F52}">
  <cacheSource type="worksheet">
    <worksheetSource ref="A4:J20" sheet="Synthèse Ventes"/>
  </cacheSource>
  <cacheFields count="10">
    <cacheField name="Vente ID" numFmtId="0">
      <sharedItems/>
    </cacheField>
    <cacheField name="Date" numFmtId="14">
      <sharedItems containsSemiMixedTypes="0" containsNonDate="0" containsDate="1" containsString="0" minDate="2026-01-05T00:00:00" maxDate="2026-04-27T00:00:00"/>
    </cacheField>
    <cacheField name="Mois" numFmtId="0">
      <sharedItems count="5">
        <s v="Janvier"/>
        <s v="Février"/>
        <s v="Mars"/>
        <s v="Avril"/>
        <s v="Fevrier" u="1"/>
      </sharedItems>
    </cacheField>
    <cacheField name="Produit" numFmtId="0">
      <sharedItems count="4">
        <s v="Clavier"/>
        <s v="Ecran"/>
        <s v="Souris"/>
        <s v="Casque"/>
      </sharedItems>
    </cacheField>
    <cacheField name="Catégorie" numFmtId="0">
      <sharedItems/>
    </cacheField>
    <cacheField name="Canal" numFmtId="0">
      <sharedItems count="3">
        <s v="Web"/>
        <s v="Magasin"/>
        <s v="Partenaire"/>
      </sharedItems>
    </cacheField>
    <cacheField name="Région" numFmtId="0">
      <sharedItems/>
    </cacheField>
    <cacheField name="Quantité" numFmtId="0">
      <sharedItems containsSemiMixedTypes="0" containsString="0" containsNumber="1" containsInteger="1" minValue="2" maxValue="10"/>
    </cacheField>
    <cacheField name="Prix unitaire" numFmtId="164">
      <sharedItems containsSemiMixedTypes="0" containsString="0" containsNumber="1" containsInteger="1" minValue="180" maxValue="1120"/>
    </cacheField>
    <cacheField name="Chiffre d'affaires" numFmtId="164">
      <sharedItems containsSemiMixedTypes="0" containsString="0" containsNumber="1" containsInteger="1" minValue="675" maxValue="4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V-001"/>
    <d v="2026-01-05T00:00:00"/>
    <x v="0"/>
    <x v="0"/>
    <s v="Accessoires"/>
    <x v="0"/>
    <s v="Nord"/>
    <n v="4"/>
    <n v="320"/>
    <n v="1280"/>
  </r>
  <r>
    <s v="V-002"/>
    <d v="2026-01-08T00:00:00"/>
    <x v="0"/>
    <x v="1"/>
    <s v="Peripheriques"/>
    <x v="1"/>
    <s v="Ouest"/>
    <n v="2"/>
    <n v="560"/>
    <n v="1120"/>
  </r>
  <r>
    <s v="V-003"/>
    <d v="2026-01-12T00:00:00"/>
    <x v="0"/>
    <x v="2"/>
    <s v="Accessoires"/>
    <x v="2"/>
    <s v="Sud"/>
    <n v="8"/>
    <n v="240"/>
    <n v="1920"/>
  </r>
  <r>
    <s v="V-004"/>
    <d v="2026-01-18T00:00:00"/>
    <x v="0"/>
    <x v="3"/>
    <s v="Audio"/>
    <x v="0"/>
    <s v="Est"/>
    <n v="5"/>
    <n v="375"/>
    <n v="1875"/>
  </r>
  <r>
    <s v="V-005"/>
    <d v="2026-02-03T00:00:00"/>
    <x v="1"/>
    <x v="0"/>
    <s v="Accessoires"/>
    <x v="1"/>
    <s v="Sud"/>
    <n v="3"/>
    <n v="240"/>
    <n v="720"/>
  </r>
  <r>
    <s v="V-006"/>
    <d v="2026-02-07T00:00:00"/>
    <x v="1"/>
    <x v="1"/>
    <s v="Peripheriques"/>
    <x v="0"/>
    <s v="Nord"/>
    <n v="4"/>
    <n v="1120"/>
    <n v="4480"/>
  </r>
  <r>
    <s v="V-007"/>
    <d v="2026-02-15T00:00:00"/>
    <x v="1"/>
    <x v="2"/>
    <s v="Accessoires"/>
    <x v="0"/>
    <s v="Ouest"/>
    <n v="6"/>
    <n v="180"/>
    <n v="1080"/>
  </r>
  <r>
    <s v="V-008"/>
    <d v="2026-02-21T00:00:00"/>
    <x v="1"/>
    <x v="3"/>
    <s v="Audio"/>
    <x v="2"/>
    <s v="Est"/>
    <n v="4"/>
    <n v="300"/>
    <n v="1200"/>
  </r>
  <r>
    <s v="V-009"/>
    <d v="2026-03-04T00:00:00"/>
    <x v="2"/>
    <x v="0"/>
    <s v="Accessoires"/>
    <x v="2"/>
    <s v="Ouest"/>
    <n v="5"/>
    <n v="400"/>
    <n v="2000"/>
  </r>
  <r>
    <s v="V-010"/>
    <d v="2026-03-09T00:00:00"/>
    <x v="2"/>
    <x v="1"/>
    <s v="Peripheriques"/>
    <x v="1"/>
    <s v="Est"/>
    <n v="3"/>
    <n v="840"/>
    <n v="2520"/>
  </r>
  <r>
    <s v="V-011"/>
    <d v="2026-03-16T00:00:00"/>
    <x v="2"/>
    <x v="2"/>
    <s v="Accessoires"/>
    <x v="0"/>
    <s v="Nord"/>
    <n v="10"/>
    <n v="300"/>
    <n v="3000"/>
  </r>
  <r>
    <s v="V-012"/>
    <d v="2026-03-23T00:00:00"/>
    <x v="2"/>
    <x v="3"/>
    <s v="Audio"/>
    <x v="1"/>
    <s v="Sud"/>
    <n v="6"/>
    <n v="450"/>
    <n v="2700"/>
  </r>
  <r>
    <s v="V-013"/>
    <d v="2026-04-02T00:00:00"/>
    <x v="3"/>
    <x v="0"/>
    <s v="Accessoires"/>
    <x v="0"/>
    <s v="Est"/>
    <n v="6"/>
    <n v="480"/>
    <n v="2880"/>
  </r>
  <r>
    <s v="V-014"/>
    <d v="2026-04-11T00:00:00"/>
    <x v="3"/>
    <x v="1"/>
    <s v="Peripheriques"/>
    <x v="2"/>
    <s v="Sud"/>
    <n v="2"/>
    <n v="560"/>
    <n v="1120"/>
  </r>
  <r>
    <s v="V-015"/>
    <d v="2026-04-17T00:00:00"/>
    <x v="3"/>
    <x v="2"/>
    <s v="Accessoires"/>
    <x v="1"/>
    <s v="Ouest"/>
    <n v="7"/>
    <n v="210"/>
    <n v="1470"/>
  </r>
  <r>
    <s v="V-016"/>
    <d v="2026-04-26T00:00:00"/>
    <x v="3"/>
    <x v="3"/>
    <s v="Audio"/>
    <x v="0"/>
    <s v="Nord"/>
    <n v="3"/>
    <n v="225"/>
    <n v="6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2BCE9-CC35-A047-ABAC-75B4FCAAD682}" name="Tableau croisé dynamique1" cacheId="1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3:F29" firstHeaderRow="1" firstDataRow="2" firstDataCol="1" rowPageCount="1" colPageCount="1"/>
  <pivotFields count="10">
    <pivotField showAll="0"/>
    <pivotField numFmtId="14" showAll="0"/>
    <pivotField axis="axisCol" showAll="0">
      <items count="6">
        <item x="0"/>
        <item m="1" x="4"/>
        <item x="2"/>
        <item x="3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numFmtId="164" showAll="0"/>
    <pivotField dataField="1" numFmtId="164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Somme de Chiffre d'affair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ntes_demo_tcd" connectionId="1" xr16:uid="{961F55DB-666B-9B43-857A-00213732002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F7AD-4079-9A4A-ADFF-819C957D448A}">
  <dimension ref="A1:J29"/>
  <sheetViews>
    <sheetView tabSelected="1" workbookViewId="0">
      <selection activeCell="D30" sqref="D30"/>
    </sheetView>
  </sheetViews>
  <sheetFormatPr baseColWidth="10" defaultRowHeight="15" x14ac:dyDescent="0.2"/>
  <cols>
    <col min="1" max="1" width="22.83203125" bestFit="1" customWidth="1"/>
    <col min="2" max="2" width="21" bestFit="1" customWidth="1"/>
    <col min="3" max="3" width="13.33203125" customWidth="1"/>
    <col min="4" max="4" width="13.5" customWidth="1"/>
    <col min="5" max="5" width="11.1640625" bestFit="1" customWidth="1"/>
    <col min="6" max="6" width="12.33203125" customWidth="1"/>
    <col min="7" max="7" width="6.33203125" bestFit="1" customWidth="1"/>
    <col min="8" max="8" width="9.5" customWidth="1"/>
    <col min="9" max="9" width="10.6640625" bestFit="1" customWidth="1"/>
    <col min="10" max="10" width="13.6640625" bestFit="1" customWidth="1"/>
  </cols>
  <sheetData>
    <row r="1" spans="1:10" ht="26" x14ac:dyDescent="0.3">
      <c r="A1" s="6" t="s">
        <v>42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2">
      <c r="A3" s="2" t="s">
        <v>43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7" t="s">
        <v>44</v>
      </c>
      <c r="B4" s="7" t="s">
        <v>0</v>
      </c>
      <c r="C4" s="7" t="s">
        <v>1</v>
      </c>
      <c r="D4" s="7" t="s">
        <v>2</v>
      </c>
      <c r="E4" s="7" t="s">
        <v>41</v>
      </c>
      <c r="F4" s="7" t="s">
        <v>3</v>
      </c>
      <c r="G4" s="7" t="s">
        <v>40</v>
      </c>
      <c r="H4" s="7" t="s">
        <v>39</v>
      </c>
      <c r="I4" s="7" t="s">
        <v>37</v>
      </c>
      <c r="J4" s="7" t="s">
        <v>38</v>
      </c>
    </row>
    <row r="5" spans="1:10" x14ac:dyDescent="0.2">
      <c r="A5" t="s">
        <v>4</v>
      </c>
      <c r="B5" s="1">
        <v>46027</v>
      </c>
      <c r="C5" t="str">
        <f>PROPER(TEXT(B5, "mmmm"))</f>
        <v>Janvier</v>
      </c>
      <c r="D5" t="s">
        <v>6</v>
      </c>
      <c r="E5" t="s">
        <v>7</v>
      </c>
      <c r="F5" t="s">
        <v>8</v>
      </c>
      <c r="G5" t="s">
        <v>9</v>
      </c>
      <c r="H5">
        <v>4</v>
      </c>
      <c r="I5" s="3">
        <v>320</v>
      </c>
      <c r="J5" s="3">
        <f>H5*I5</f>
        <v>1280</v>
      </c>
    </row>
    <row r="6" spans="1:10" x14ac:dyDescent="0.2">
      <c r="A6" t="s">
        <v>10</v>
      </c>
      <c r="B6" s="1">
        <v>46030</v>
      </c>
      <c r="C6" t="str">
        <f t="shared" ref="C6:C20" si="0">PROPER(TEXT(B6, "mmmm"))</f>
        <v>Janvier</v>
      </c>
      <c r="D6" t="s">
        <v>11</v>
      </c>
      <c r="E6" t="s">
        <v>12</v>
      </c>
      <c r="F6" t="s">
        <v>13</v>
      </c>
      <c r="G6" t="s">
        <v>14</v>
      </c>
      <c r="H6">
        <v>2</v>
      </c>
      <c r="I6" s="3">
        <v>560</v>
      </c>
      <c r="J6" s="3">
        <f t="shared" ref="J6:J20" si="1">H6*I6</f>
        <v>1120</v>
      </c>
    </row>
    <row r="7" spans="1:10" x14ac:dyDescent="0.2">
      <c r="A7" t="s">
        <v>15</v>
      </c>
      <c r="B7" s="1">
        <v>46034</v>
      </c>
      <c r="C7" t="str">
        <f t="shared" si="0"/>
        <v>Janvier</v>
      </c>
      <c r="D7" t="s">
        <v>16</v>
      </c>
      <c r="E7" t="s">
        <v>7</v>
      </c>
      <c r="F7" t="s">
        <v>17</v>
      </c>
      <c r="G7" t="s">
        <v>18</v>
      </c>
      <c r="H7">
        <v>8</v>
      </c>
      <c r="I7" s="3">
        <v>240</v>
      </c>
      <c r="J7" s="3">
        <f t="shared" si="1"/>
        <v>1920</v>
      </c>
    </row>
    <row r="8" spans="1:10" x14ac:dyDescent="0.2">
      <c r="A8" t="s">
        <v>19</v>
      </c>
      <c r="B8" s="1">
        <v>46040</v>
      </c>
      <c r="C8" t="str">
        <f t="shared" si="0"/>
        <v>Janvier</v>
      </c>
      <c r="D8" t="s">
        <v>20</v>
      </c>
      <c r="E8" t="s">
        <v>21</v>
      </c>
      <c r="F8" t="s">
        <v>8</v>
      </c>
      <c r="G8" t="s">
        <v>22</v>
      </c>
      <c r="H8">
        <v>5</v>
      </c>
      <c r="I8" s="3">
        <v>375</v>
      </c>
      <c r="J8" s="3">
        <f t="shared" si="1"/>
        <v>1875</v>
      </c>
    </row>
    <row r="9" spans="1:10" x14ac:dyDescent="0.2">
      <c r="A9" t="s">
        <v>23</v>
      </c>
      <c r="B9" s="1">
        <v>46056</v>
      </c>
      <c r="C9" t="str">
        <f t="shared" si="0"/>
        <v>Février</v>
      </c>
      <c r="D9" t="s">
        <v>6</v>
      </c>
      <c r="E9" t="s">
        <v>7</v>
      </c>
      <c r="F9" t="s">
        <v>13</v>
      </c>
      <c r="G9" t="s">
        <v>18</v>
      </c>
      <c r="H9">
        <v>3</v>
      </c>
      <c r="I9" s="3">
        <v>240</v>
      </c>
      <c r="J9" s="3">
        <f t="shared" si="1"/>
        <v>720</v>
      </c>
    </row>
    <row r="10" spans="1:10" x14ac:dyDescent="0.2">
      <c r="A10" t="s">
        <v>24</v>
      </c>
      <c r="B10" s="1">
        <v>46060</v>
      </c>
      <c r="C10" t="str">
        <f t="shared" si="0"/>
        <v>Février</v>
      </c>
      <c r="D10" t="s">
        <v>11</v>
      </c>
      <c r="E10" t="s">
        <v>12</v>
      </c>
      <c r="F10" t="s">
        <v>8</v>
      </c>
      <c r="G10" t="s">
        <v>9</v>
      </c>
      <c r="H10">
        <v>4</v>
      </c>
      <c r="I10" s="3">
        <v>1120</v>
      </c>
      <c r="J10" s="3">
        <f t="shared" si="1"/>
        <v>4480</v>
      </c>
    </row>
    <row r="11" spans="1:10" x14ac:dyDescent="0.2">
      <c r="A11" t="s">
        <v>25</v>
      </c>
      <c r="B11" s="1">
        <v>46068</v>
      </c>
      <c r="C11" t="str">
        <f t="shared" si="0"/>
        <v>Février</v>
      </c>
      <c r="D11" t="s">
        <v>16</v>
      </c>
      <c r="E11" t="s">
        <v>7</v>
      </c>
      <c r="F11" t="s">
        <v>8</v>
      </c>
      <c r="G11" t="s">
        <v>14</v>
      </c>
      <c r="H11">
        <v>6</v>
      </c>
      <c r="I11" s="3">
        <v>180</v>
      </c>
      <c r="J11" s="3">
        <f t="shared" si="1"/>
        <v>1080</v>
      </c>
    </row>
    <row r="12" spans="1:10" x14ac:dyDescent="0.2">
      <c r="A12" t="s">
        <v>26</v>
      </c>
      <c r="B12" s="1">
        <v>46074</v>
      </c>
      <c r="C12" t="str">
        <f t="shared" si="0"/>
        <v>Février</v>
      </c>
      <c r="D12" t="s">
        <v>20</v>
      </c>
      <c r="E12" t="s">
        <v>21</v>
      </c>
      <c r="F12" t="s">
        <v>17</v>
      </c>
      <c r="G12" t="s">
        <v>22</v>
      </c>
      <c r="H12">
        <v>4</v>
      </c>
      <c r="I12" s="3">
        <v>300</v>
      </c>
      <c r="J12" s="3">
        <f t="shared" si="1"/>
        <v>1200</v>
      </c>
    </row>
    <row r="13" spans="1:10" x14ac:dyDescent="0.2">
      <c r="A13" t="s">
        <v>27</v>
      </c>
      <c r="B13" s="1">
        <v>46085</v>
      </c>
      <c r="C13" t="str">
        <f t="shared" si="0"/>
        <v>Mars</v>
      </c>
      <c r="D13" t="s">
        <v>6</v>
      </c>
      <c r="E13" t="s">
        <v>7</v>
      </c>
      <c r="F13" t="s">
        <v>17</v>
      </c>
      <c r="G13" t="s">
        <v>14</v>
      </c>
      <c r="H13">
        <v>5</v>
      </c>
      <c r="I13" s="3">
        <v>400</v>
      </c>
      <c r="J13" s="3">
        <f t="shared" si="1"/>
        <v>2000</v>
      </c>
    </row>
    <row r="14" spans="1:10" x14ac:dyDescent="0.2">
      <c r="A14" t="s">
        <v>29</v>
      </c>
      <c r="B14" s="1">
        <v>46090</v>
      </c>
      <c r="C14" t="str">
        <f t="shared" si="0"/>
        <v>Mars</v>
      </c>
      <c r="D14" t="s">
        <v>11</v>
      </c>
      <c r="E14" t="s">
        <v>12</v>
      </c>
      <c r="F14" t="s">
        <v>13</v>
      </c>
      <c r="G14" t="s">
        <v>22</v>
      </c>
      <c r="H14">
        <v>3</v>
      </c>
      <c r="I14" s="3">
        <v>840</v>
      </c>
      <c r="J14" s="3">
        <f t="shared" si="1"/>
        <v>2520</v>
      </c>
    </row>
    <row r="15" spans="1:10" x14ac:dyDescent="0.2">
      <c r="A15" t="s">
        <v>30</v>
      </c>
      <c r="B15" s="1">
        <v>46097</v>
      </c>
      <c r="C15" t="str">
        <f t="shared" si="0"/>
        <v>Mars</v>
      </c>
      <c r="D15" t="s">
        <v>16</v>
      </c>
      <c r="E15" t="s">
        <v>7</v>
      </c>
      <c r="F15" t="s">
        <v>8</v>
      </c>
      <c r="G15" t="s">
        <v>9</v>
      </c>
      <c r="H15">
        <v>10</v>
      </c>
      <c r="I15" s="3">
        <v>300</v>
      </c>
      <c r="J15" s="3">
        <f t="shared" si="1"/>
        <v>3000</v>
      </c>
    </row>
    <row r="16" spans="1:10" x14ac:dyDescent="0.2">
      <c r="A16" t="s">
        <v>31</v>
      </c>
      <c r="B16" s="1">
        <v>46104</v>
      </c>
      <c r="C16" t="str">
        <f t="shared" si="0"/>
        <v>Mars</v>
      </c>
      <c r="D16" t="s">
        <v>20</v>
      </c>
      <c r="E16" t="s">
        <v>21</v>
      </c>
      <c r="F16" t="s">
        <v>13</v>
      </c>
      <c r="G16" t="s">
        <v>18</v>
      </c>
      <c r="H16">
        <v>6</v>
      </c>
      <c r="I16" s="3">
        <v>450</v>
      </c>
      <c r="J16" s="3">
        <f t="shared" si="1"/>
        <v>2700</v>
      </c>
    </row>
    <row r="17" spans="1:10" x14ac:dyDescent="0.2">
      <c r="A17" t="s">
        <v>32</v>
      </c>
      <c r="B17" s="1">
        <v>46114</v>
      </c>
      <c r="C17" t="str">
        <f t="shared" si="0"/>
        <v>Avril</v>
      </c>
      <c r="D17" t="s">
        <v>6</v>
      </c>
      <c r="E17" t="s">
        <v>7</v>
      </c>
      <c r="F17" t="s">
        <v>8</v>
      </c>
      <c r="G17" t="s">
        <v>22</v>
      </c>
      <c r="H17">
        <v>6</v>
      </c>
      <c r="I17" s="3">
        <v>480</v>
      </c>
      <c r="J17" s="3">
        <f t="shared" si="1"/>
        <v>2880</v>
      </c>
    </row>
    <row r="18" spans="1:10" x14ac:dyDescent="0.2">
      <c r="A18" t="s">
        <v>34</v>
      </c>
      <c r="B18" s="1">
        <v>46123</v>
      </c>
      <c r="C18" t="str">
        <f t="shared" si="0"/>
        <v>Avril</v>
      </c>
      <c r="D18" t="s">
        <v>11</v>
      </c>
      <c r="E18" t="s">
        <v>12</v>
      </c>
      <c r="F18" t="s">
        <v>17</v>
      </c>
      <c r="G18" t="s">
        <v>18</v>
      </c>
      <c r="H18">
        <v>2</v>
      </c>
      <c r="I18" s="3">
        <v>560</v>
      </c>
      <c r="J18" s="3">
        <f t="shared" si="1"/>
        <v>1120</v>
      </c>
    </row>
    <row r="19" spans="1:10" x14ac:dyDescent="0.2">
      <c r="A19" t="s">
        <v>35</v>
      </c>
      <c r="B19" s="1">
        <v>46129</v>
      </c>
      <c r="C19" t="str">
        <f t="shared" si="0"/>
        <v>Avril</v>
      </c>
      <c r="D19" t="s">
        <v>16</v>
      </c>
      <c r="E19" t="s">
        <v>7</v>
      </c>
      <c r="F19" t="s">
        <v>13</v>
      </c>
      <c r="G19" t="s">
        <v>14</v>
      </c>
      <c r="H19">
        <v>7</v>
      </c>
      <c r="I19" s="3">
        <v>210</v>
      </c>
      <c r="J19" s="3">
        <f t="shared" si="1"/>
        <v>1470</v>
      </c>
    </row>
    <row r="20" spans="1:10" x14ac:dyDescent="0.2">
      <c r="A20" t="s">
        <v>36</v>
      </c>
      <c r="B20" s="1">
        <v>46138</v>
      </c>
      <c r="C20" t="str">
        <f t="shared" si="0"/>
        <v>Avril</v>
      </c>
      <c r="D20" t="s">
        <v>20</v>
      </c>
      <c r="E20" t="s">
        <v>21</v>
      </c>
      <c r="F20" t="s">
        <v>8</v>
      </c>
      <c r="G20" t="s">
        <v>9</v>
      </c>
      <c r="H20">
        <v>3</v>
      </c>
      <c r="I20" s="3">
        <v>225</v>
      </c>
      <c r="J20" s="3">
        <f t="shared" si="1"/>
        <v>675</v>
      </c>
    </row>
    <row r="21" spans="1:10" x14ac:dyDescent="0.2">
      <c r="A21" s="4" t="s">
        <v>3</v>
      </c>
      <c r="B21" t="s">
        <v>48</v>
      </c>
    </row>
    <row r="22" spans="1:10" x14ac:dyDescent="0.2">
      <c r="A22" s="2" t="s">
        <v>51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4" t="s">
        <v>47</v>
      </c>
      <c r="B23" s="4" t="s">
        <v>49</v>
      </c>
    </row>
    <row r="24" spans="1:10" x14ac:dyDescent="0.2">
      <c r="A24" s="4" t="s">
        <v>45</v>
      </c>
      <c r="B24" t="s">
        <v>5</v>
      </c>
      <c r="C24" t="s">
        <v>28</v>
      </c>
      <c r="D24" t="s">
        <v>33</v>
      </c>
      <c r="E24" t="s">
        <v>50</v>
      </c>
      <c r="F24" t="s">
        <v>46</v>
      </c>
    </row>
    <row r="25" spans="1:10" x14ac:dyDescent="0.2">
      <c r="A25" s="5" t="s">
        <v>20</v>
      </c>
      <c r="B25" s="3">
        <v>1875</v>
      </c>
      <c r="C25" s="3">
        <v>2700</v>
      </c>
      <c r="D25" s="3">
        <v>675</v>
      </c>
      <c r="E25" s="3">
        <v>1200</v>
      </c>
      <c r="F25" s="3">
        <v>6450</v>
      </c>
    </row>
    <row r="26" spans="1:10" x14ac:dyDescent="0.2">
      <c r="A26" s="5" t="s">
        <v>6</v>
      </c>
      <c r="B26" s="3">
        <v>1280</v>
      </c>
      <c r="C26" s="3">
        <v>2000</v>
      </c>
      <c r="D26" s="3">
        <v>2880</v>
      </c>
      <c r="E26" s="3">
        <v>720</v>
      </c>
      <c r="F26" s="3">
        <v>6880</v>
      </c>
    </row>
    <row r="27" spans="1:10" x14ac:dyDescent="0.2">
      <c r="A27" s="5" t="s">
        <v>11</v>
      </c>
      <c r="B27" s="3">
        <v>1120</v>
      </c>
      <c r="C27" s="3">
        <v>2520</v>
      </c>
      <c r="D27" s="3">
        <v>1120</v>
      </c>
      <c r="E27" s="3">
        <v>4480</v>
      </c>
      <c r="F27" s="3">
        <v>9240</v>
      </c>
    </row>
    <row r="28" spans="1:10" x14ac:dyDescent="0.2">
      <c r="A28" s="5" t="s">
        <v>16</v>
      </c>
      <c r="B28" s="3">
        <v>1920</v>
      </c>
      <c r="C28" s="3">
        <v>3000</v>
      </c>
      <c r="D28" s="3">
        <v>1470</v>
      </c>
      <c r="E28" s="3">
        <v>1080</v>
      </c>
      <c r="F28" s="3">
        <v>7470</v>
      </c>
    </row>
    <row r="29" spans="1:10" x14ac:dyDescent="0.2">
      <c r="A29" s="5" t="s">
        <v>46</v>
      </c>
      <c r="B29" s="3">
        <v>6195</v>
      </c>
      <c r="C29" s="3">
        <v>10220</v>
      </c>
      <c r="D29" s="3">
        <v>6145</v>
      </c>
      <c r="E29" s="3">
        <v>7480</v>
      </c>
      <c r="F29" s="3">
        <v>30040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Synthèse Ventes</vt:lpstr>
      <vt:lpstr>'Synthèse Ventes'!ventes_demo_tcd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FLORENTIN</dc:creator>
  <cp:lastModifiedBy>William FLORENTIN</cp:lastModifiedBy>
  <dcterms:created xsi:type="dcterms:W3CDTF">2026-09-23T15:55:06Z</dcterms:created>
  <dcterms:modified xsi:type="dcterms:W3CDTF">2026-09-23T16:09:48Z</dcterms:modified>
</cp:coreProperties>
</file>